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uncc-my.sharepoint.com/personal/mwieseck_charlotte_edu/Documents/"/>
    </mc:Choice>
  </mc:AlternateContent>
  <xr:revisionPtr revIDLastSave="183" documentId="8_{BCE59FE1-A513-4453-BE59-75FE447F9A9E}" xr6:coauthVersionLast="47" xr6:coauthVersionMax="47" xr10:uidLastSave="{E5CF7977-3CD9-4186-9139-2874A2CA1712}"/>
  <bookViews>
    <workbookView xWindow="-16320" yWindow="-2550" windowWidth="16440" windowHeight="28320" xr2:uid="{D477E7E1-C9C2-407D-86FB-51E5A89892A8}"/>
  </bookViews>
  <sheets>
    <sheet name="Sheet1" sheetId="1" r:id="rId1"/>
    <sheet name="Sheet2" sheetId="2" r:id="rId2"/>
  </sheets>
  <definedNames>
    <definedName name="_xlchart.v1.0" hidden="1">Sheet1!$J$7:$J$31</definedName>
    <definedName name="_xlchart.v1.1" hidden="1">Sheet1!$C$7:$C$31</definedName>
    <definedName name="_xlchart.v1.2" hidden="1">Sheet1!$D$7:$D$32</definedName>
    <definedName name="_xlchart.v1.3" hidden="1">Sheet1!$I$7:$I$31</definedName>
    <definedName name="_xlchart.v1.4" hidden="1">Sheet1!$J$7:$J$31</definedName>
    <definedName name="_xlchart.v1.5" hidden="1">Sheet1!$J$7:$J$31</definedName>
    <definedName name="_xlchart.v1.6" hidden="1">Sheet1!$C$7:$C$31</definedName>
    <definedName name="_xlchart.v1.7" hidden="1">Sheet1!$J$7:$J$31</definedName>
    <definedName name="_xlchart.v1.8" hidden="1">Sheet1!$I$7:$I$31</definedName>
    <definedName name="_xlchart.v1.9" hidden="1">Sheet1!$J$7:$J$31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F21" i="2"/>
  <c r="D21" i="2"/>
  <c r="E22" i="2"/>
  <c r="F22" i="2"/>
  <c r="D22" i="2"/>
  <c r="J33" i="1"/>
  <c r="I33" i="1"/>
  <c r="D33" i="1"/>
  <c r="C33" i="1"/>
  <c r="J34" i="1"/>
  <c r="J35" i="1" s="1"/>
  <c r="I34" i="1"/>
  <c r="I35" i="1" s="1"/>
  <c r="D34" i="1"/>
  <c r="D35" i="1" s="1"/>
  <c r="C34" i="1"/>
  <c r="E27" i="1" s="1"/>
  <c r="E20" i="1" l="1"/>
  <c r="E17" i="1"/>
  <c r="E12" i="1"/>
  <c r="F21" i="1"/>
  <c r="E22" i="1"/>
  <c r="F15" i="1"/>
  <c r="F13" i="1"/>
  <c r="F19" i="1"/>
  <c r="E23" i="1"/>
  <c r="F8" i="1"/>
  <c r="F18" i="1"/>
  <c r="E21" i="1"/>
  <c r="F24" i="1"/>
  <c r="F32" i="1"/>
  <c r="F9" i="1"/>
  <c r="F17" i="1"/>
  <c r="E26" i="1"/>
  <c r="E16" i="1"/>
  <c r="F22" i="1"/>
  <c r="E25" i="1"/>
  <c r="F29" i="1"/>
  <c r="E29" i="1"/>
  <c r="E9" i="1"/>
  <c r="F30" i="1"/>
  <c r="E31" i="1"/>
  <c r="E28" i="1"/>
  <c r="F27" i="1"/>
  <c r="F12" i="1"/>
  <c r="E8" i="1"/>
  <c r="F16" i="1"/>
  <c r="F10" i="1"/>
  <c r="C35" i="1"/>
  <c r="E30" i="1"/>
  <c r="F26" i="1"/>
  <c r="E10" i="1"/>
  <c r="F11" i="1"/>
  <c r="F25" i="1"/>
  <c r="E18" i="1"/>
  <c r="E32" i="1"/>
  <c r="F14" i="1"/>
  <c r="F23" i="1"/>
  <c r="F20" i="1"/>
  <c r="E7" i="1"/>
  <c r="E24" i="1"/>
  <c r="F28" i="1"/>
  <c r="F31" i="1"/>
  <c r="E13" i="1"/>
  <c r="E19" i="1"/>
  <c r="E15" i="1"/>
  <c r="F7" i="1"/>
  <c r="E14" i="1"/>
  <c r="E11" i="1"/>
</calcChain>
</file>

<file path=xl/sharedStrings.xml><?xml version="1.0" encoding="utf-8"?>
<sst xmlns="http://schemas.openxmlformats.org/spreadsheetml/2006/main" count="17" uniqueCount="14">
  <si>
    <t>Trial</t>
  </si>
  <si>
    <t>x</t>
  </si>
  <si>
    <t>y</t>
  </si>
  <si>
    <t>toss</t>
  </si>
  <si>
    <t xml:space="preserve">Mean </t>
  </si>
  <si>
    <t>STD</t>
  </si>
  <si>
    <t>N.Dist</t>
  </si>
  <si>
    <t>trial</t>
  </si>
  <si>
    <t>Olive</t>
  </si>
  <si>
    <t xml:space="preserve">Canola </t>
  </si>
  <si>
    <t>Corn</t>
  </si>
  <si>
    <t>Ave</t>
  </si>
  <si>
    <t xml:space="preserve">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</si>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</sst>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Sheet1!$C$7:$C$32</c:f>
              <c:numCache>
                <c:formatCode>General</c:formatCode>
                <c:ptCount val="26"/>
                <c:pt idx="0">
                  <c:v>-10.5</c:v>
                </c:pt>
                <c:pt idx="1">
                  <c:v>-10.5</c:v>
                </c:pt>
                <c:pt idx="2">
                  <c:v>-10.25</c:v>
                </c:pt>
                <c:pt idx="3">
                  <c:v>-3</c:v>
                </c:pt>
                <c:pt idx="4">
                  <c:v>-2.5</c:v>
                </c:pt>
                <c:pt idx="5">
                  <c:v>-2.5</c:v>
                </c:pt>
                <c:pt idx="6">
                  <c:v>-1.5</c:v>
                </c:pt>
                <c:pt idx="7">
                  <c:v>-1.5</c:v>
                </c:pt>
                <c:pt idx="8">
                  <c:v>0</c:v>
                </c:pt>
                <c:pt idx="9">
                  <c:v>0.25</c:v>
                </c:pt>
                <c:pt idx="10">
                  <c:v>0.5</c:v>
                </c:pt>
                <c:pt idx="11">
                  <c:v>0.75</c:v>
                </c:pt>
                <c:pt idx="12">
                  <c:v>1</c:v>
                </c:pt>
                <c:pt idx="13">
                  <c:v>1</c:v>
                </c:pt>
                <c:pt idx="14">
                  <c:v>1.25</c:v>
                </c:pt>
                <c:pt idx="15">
                  <c:v>1.5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3.5</c:v>
                </c:pt>
                <c:pt idx="23">
                  <c:v>4</c:v>
                </c:pt>
                <c:pt idx="24">
                  <c:v>4</c:v>
                </c:pt>
              </c:numCache>
            </c:numRef>
          </c:xVal>
          <c:yVal>
            <c:numRef>
              <c:f>Sheet1!$E$7:$E$32</c:f>
              <c:numCache>
                <c:formatCode>General</c:formatCode>
                <c:ptCount val="26"/>
                <c:pt idx="0">
                  <c:v>5.0295494026261264E-3</c:v>
                </c:pt>
                <c:pt idx="1">
                  <c:v>5.0295494026261264E-3</c:v>
                </c:pt>
                <c:pt idx="2">
                  <c:v>5.8140093414587408E-3</c:v>
                </c:pt>
                <c:pt idx="3">
                  <c:v>7.9598530000678736E-2</c:v>
                </c:pt>
                <c:pt idx="4">
                  <c:v>8.514843374165422E-2</c:v>
                </c:pt>
                <c:pt idx="5">
                  <c:v>8.514843374165422E-2</c:v>
                </c:pt>
                <c:pt idx="6">
                  <c:v>9.3263638239919275E-2</c:v>
                </c:pt>
                <c:pt idx="7">
                  <c:v>9.3263638239919275E-2</c:v>
                </c:pt>
                <c:pt idx="8">
                  <c:v>9.5829016309226578E-2</c:v>
                </c:pt>
                <c:pt idx="9">
                  <c:v>9.5042374095878526E-2</c:v>
                </c:pt>
                <c:pt idx="10">
                  <c:v>9.39190217337878E-2</c:v>
                </c:pt>
                <c:pt idx="11">
                  <c:v>9.2471069900313563E-2</c:v>
                </c:pt>
                <c:pt idx="12">
                  <c:v>9.0713984407685744E-2</c:v>
                </c:pt>
                <c:pt idx="13">
                  <c:v>9.0713984407685744E-2</c:v>
                </c:pt>
                <c:pt idx="14">
                  <c:v>8.8666311263918746E-2</c:v>
                </c:pt>
                <c:pt idx="15">
                  <c:v>8.6349350957726459E-2</c:v>
                </c:pt>
                <c:pt idx="16">
                  <c:v>8.1004298365249236E-2</c:v>
                </c:pt>
                <c:pt idx="17">
                  <c:v>8.1004298365249236E-2</c:v>
                </c:pt>
                <c:pt idx="18">
                  <c:v>8.1004298365249236E-2</c:v>
                </c:pt>
                <c:pt idx="19">
                  <c:v>7.488954707660507E-2</c:v>
                </c:pt>
                <c:pt idx="20">
                  <c:v>7.488954707660507E-2</c:v>
                </c:pt>
                <c:pt idx="21">
                  <c:v>7.488954707660507E-2</c:v>
                </c:pt>
                <c:pt idx="22">
                  <c:v>6.1268879753523457E-2</c:v>
                </c:pt>
                <c:pt idx="23">
                  <c:v>5.421825502502723E-2</c:v>
                </c:pt>
                <c:pt idx="24">
                  <c:v>5.421825502502723E-2</c:v>
                </c:pt>
                <c:pt idx="25">
                  <c:v>9.5829016309226578E-2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14-41F6-AC2D-2174CC9FD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855871"/>
        <c:axId val="1076856351"/>
      </c:scatterChart>
      <c:valAx>
        <c:axId val="107685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56351"/>
        <c:crosses val="autoZero"/>
        <c:crossBetween val="midCat"/>
      </c:valAx>
      <c:valAx>
        <c:axId val="10768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55871"/>
        <c:crossesAt val="-1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Canola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Sheet2!$E$6:$E$20</c:f>
              <c:numCache>
                <c:formatCode>General</c:formatCode>
                <c:ptCount val="15"/>
                <c:pt idx="0">
                  <c:v>3.25</c:v>
                </c:pt>
                <c:pt idx="1">
                  <c:v>3.31</c:v>
                </c:pt>
                <c:pt idx="2">
                  <c:v>3.16</c:v>
                </c:pt>
                <c:pt idx="3">
                  <c:v>3.16</c:v>
                </c:pt>
                <c:pt idx="4">
                  <c:v>3.18</c:v>
                </c:pt>
                <c:pt idx="5">
                  <c:v>4.51</c:v>
                </c:pt>
                <c:pt idx="6">
                  <c:v>3.18</c:v>
                </c:pt>
                <c:pt idx="7">
                  <c:v>3.9</c:v>
                </c:pt>
                <c:pt idx="8">
                  <c:v>3.3</c:v>
                </c:pt>
                <c:pt idx="9">
                  <c:v>4.01</c:v>
                </c:pt>
                <c:pt idx="10">
                  <c:v>3.2869999999999999</c:v>
                </c:pt>
                <c:pt idx="11">
                  <c:v>4.2300000000000004</c:v>
                </c:pt>
                <c:pt idx="12">
                  <c:v>3.13</c:v>
                </c:pt>
                <c:pt idx="13">
                  <c:v>3.81</c:v>
                </c:pt>
                <c:pt idx="14">
                  <c:v>3.16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7-4DAE-A702-BFA3F55C6A9E}"/>
            </c:ext>
          </c:extLst>
        </c:ser>
        <c:ser>
          <c:idx val="1"/>
          <c:order val="1"/>
          <c:tx>
            <c:v>Olive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Sheet2!$D$6:$D$20</c:f>
              <c:numCache>
                <c:formatCode>General</c:formatCode>
                <c:ptCount val="15"/>
                <c:pt idx="0">
                  <c:v>3.39</c:v>
                </c:pt>
                <c:pt idx="1">
                  <c:v>5.22</c:v>
                </c:pt>
                <c:pt idx="2">
                  <c:v>2.2200000000000002</c:v>
                </c:pt>
                <c:pt idx="3">
                  <c:v>3.34</c:v>
                </c:pt>
                <c:pt idx="4">
                  <c:v>2.29</c:v>
                </c:pt>
                <c:pt idx="5">
                  <c:v>4.3099999999999996</c:v>
                </c:pt>
                <c:pt idx="6">
                  <c:v>2.44</c:v>
                </c:pt>
                <c:pt idx="7">
                  <c:v>4.3499999999999996</c:v>
                </c:pt>
                <c:pt idx="8">
                  <c:v>2.4700000000000002</c:v>
                </c:pt>
                <c:pt idx="9">
                  <c:v>4.09</c:v>
                </c:pt>
                <c:pt idx="10">
                  <c:v>2.4900000000000002</c:v>
                </c:pt>
                <c:pt idx="11">
                  <c:v>4.3600000000000003</c:v>
                </c:pt>
                <c:pt idx="12">
                  <c:v>2.4700000000000002</c:v>
                </c:pt>
                <c:pt idx="13">
                  <c:v>3.86</c:v>
                </c:pt>
                <c:pt idx="14">
                  <c:v>3.06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A7-4DAE-A702-BFA3F55C6A9E}"/>
            </c:ext>
          </c:extLst>
        </c:ser>
        <c:ser>
          <c:idx val="2"/>
          <c:order val="2"/>
          <c:tx>
            <c:v>Corn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Sheet2!$F$6:$F$20</c:f>
              <c:numCache>
                <c:formatCode>General</c:formatCode>
                <c:ptCount val="15"/>
                <c:pt idx="0">
                  <c:v>2.9</c:v>
                </c:pt>
                <c:pt idx="1">
                  <c:v>3.65</c:v>
                </c:pt>
                <c:pt idx="2">
                  <c:v>3.08</c:v>
                </c:pt>
                <c:pt idx="3">
                  <c:v>3.53</c:v>
                </c:pt>
                <c:pt idx="4">
                  <c:v>3.2</c:v>
                </c:pt>
                <c:pt idx="5">
                  <c:v>4.67</c:v>
                </c:pt>
                <c:pt idx="6">
                  <c:v>3.18</c:v>
                </c:pt>
                <c:pt idx="7">
                  <c:v>4.2300000000000004</c:v>
                </c:pt>
                <c:pt idx="8">
                  <c:v>3.27</c:v>
                </c:pt>
                <c:pt idx="9">
                  <c:v>3.93</c:v>
                </c:pt>
                <c:pt idx="10">
                  <c:v>2.93</c:v>
                </c:pt>
                <c:pt idx="11">
                  <c:v>4.47</c:v>
                </c:pt>
                <c:pt idx="12">
                  <c:v>2.9</c:v>
                </c:pt>
                <c:pt idx="13">
                  <c:v>4.62</c:v>
                </c:pt>
                <c:pt idx="14">
                  <c:v>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A7-4DAE-A702-BFA3F55C6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27775"/>
        <c:axId val="1378628255"/>
      </c:scatterChart>
      <c:valAx>
        <c:axId val="137862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28255"/>
        <c:crosses val="autoZero"/>
        <c:crossBetween val="midCat"/>
      </c:valAx>
      <c:valAx>
        <c:axId val="137862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2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X Coordinate Distribution For Pong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 Coordinate Distribution For Pong </a:t>
          </a:r>
        </a:p>
      </cx:txPr>
    </cx:title>
    <cx:plotArea>
      <cx:plotAreaRegion>
        <cx:series layoutId="clusteredColumn" uniqueId="{334F1326-14F0-4470-9715-B9A9F60149C1}">
          <cx:dataId val="0"/>
          <cx:layoutPr>
            <cx:binning intervalClosed="r" underflow="-5" overflow="5">
              <cx:binSize val="2.2970000000000002"/>
            </cx:binning>
          </cx:layoutPr>
        </cx:series>
      </cx:plotAreaRegion>
      <cx:axis id="0">
        <cx:catScaling gapWidth="0"/>
        <cx:title>
          <cx:tx>
            <cx:txData>
              <cx:v>X Cordinate in Inches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X Cordinate in Inches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Y Cordinate Distribution For Pong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 Cordinate Distribution For Pong</a:t>
          </a:r>
        </a:p>
      </cx:txPr>
    </cx:title>
    <cx:plotArea>
      <cx:plotAreaRegion>
        <cx:series layoutId="clusteredColumn" uniqueId="{0FD00B3D-1BE6-4041-BA55-A2E77C929978}">
          <cx:dataId val="0"/>
          <cx:layoutPr>
            <cx:binning intervalClosed="r" overflow="4">
              <cx:binSize val="0.98199999999999998"/>
            </cx:binning>
          </cx:layoutPr>
        </cx:series>
      </cx:plotAreaRegion>
      <cx:axis id="0">
        <cx:catScaling gapWidth="0"/>
        <cx:title>
          <cx:tx>
            <cx:txData>
              <cx:v>Y Cordinate in Inches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Y Cordinate in Inches 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X Coordinate Distribution For Wiffle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 Coordinate Distribution For Wiffle</a:t>
          </a:r>
        </a:p>
      </cx:txPr>
    </cx:title>
    <cx:plotArea>
      <cx:plotAreaRegion>
        <cx:series layoutId="clusteredColumn" uniqueId="{347CE7B1-E90E-4CB5-A9A7-A9BF90BC83E6}">
          <cx:dataId val="0"/>
          <cx:layoutPr>
            <cx:binning intervalClosed="r">
              <cx:binSize val="1.8100000000000001"/>
            </cx:binning>
          </cx:layoutPr>
        </cx:series>
      </cx:plotAreaRegion>
      <cx:axis id="0">
        <cx:catScaling gapWidth="0"/>
        <cx:title>
          <cx:tx>
            <cx:txData>
              <cx:v>X Coordinate in Inches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X Coordinate in Inches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0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x:rich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Y </a:t>
            </a:r>
            <a:r>
              <a:rPr lang="en-US" sz="12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Coordinate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Distribution For Wiffle</a:t>
            </a:r>
          </a:p>
        </cx:rich>
      </cx:tx>
    </cx:title>
    <cx:plotArea>
      <cx:plotAreaRegion>
        <cx:series layoutId="clusteredColumn" uniqueId="{58E1704D-1A70-4F66-91BE-98EA195837E3}">
          <cx:dataId val="0"/>
          <cx:layoutPr>
            <cx:binning intervalClosed="r" overflow="4">
              <cx:binSize val="1.0029999999999999"/>
            </cx:binning>
          </cx:layoutPr>
        </cx:series>
      </cx:plotAreaRegion>
      <cx:axis id="0">
        <cx:catScaling gapWidth="0"/>
        <cx:title>
          <cx:tx>
            <cx:txData>
              <cx:v>Y Coordinate in Inches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Y Coordinate in Inches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65</xdr:row>
      <xdr:rowOff>66675</xdr:rowOff>
    </xdr:from>
    <xdr:to>
      <xdr:col>17</xdr:col>
      <xdr:colOff>76201</xdr:colOff>
      <xdr:row>89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4F025-D17F-50C5-F816-888959453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15</xdr:row>
      <xdr:rowOff>176212</xdr:rowOff>
    </xdr:from>
    <xdr:to>
      <xdr:col>12</xdr:col>
      <xdr:colOff>276225</xdr:colOff>
      <xdr:row>30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36CC9F9-E432-ED5A-79DD-90917120C3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9425" y="30337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557212</xdr:colOff>
      <xdr:row>33</xdr:row>
      <xdr:rowOff>52387</xdr:rowOff>
    </xdr:from>
    <xdr:to>
      <xdr:col>10</xdr:col>
      <xdr:colOff>252412</xdr:colOff>
      <xdr:row>47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954E6A3-C392-203C-FEEF-A89F872F97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6412" y="6338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495300</xdr:colOff>
      <xdr:row>49</xdr:row>
      <xdr:rowOff>71437</xdr:rowOff>
    </xdr:from>
    <xdr:to>
      <xdr:col>10</xdr:col>
      <xdr:colOff>190500</xdr:colOff>
      <xdr:row>63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B01D368-7F9F-B29A-8F0E-B28538CA0D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0" y="94059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576262</xdr:colOff>
      <xdr:row>18</xdr:row>
      <xdr:rowOff>109537</xdr:rowOff>
    </xdr:from>
    <xdr:to>
      <xdr:col>11</xdr:col>
      <xdr:colOff>271462</xdr:colOff>
      <xdr:row>32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937F097-610A-31AA-51F8-DFE00E97FB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5062" y="35385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25</xdr:row>
      <xdr:rowOff>66675</xdr:rowOff>
    </xdr:from>
    <xdr:to>
      <xdr:col>13</xdr:col>
      <xdr:colOff>342900</xdr:colOff>
      <xdr:row>47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76FC5D-BADF-8AEE-BF65-9529F5A2C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C1D5-0B64-432E-BCD6-59B208EEDA64}">
  <dimension ref="B6:K40"/>
  <sheetViews>
    <sheetView tabSelected="1" topLeftCell="C10" workbookViewId="0">
      <selection activeCell="K34" sqref="K34"/>
    </sheetView>
  </sheetViews>
  <sheetFormatPr defaultRowHeight="15" x14ac:dyDescent="0.25"/>
  <sheetData>
    <row r="6" spans="2:10" x14ac:dyDescent="0.25">
      <c r="B6" t="s">
        <v>0</v>
      </c>
      <c r="C6" t="s">
        <v>1</v>
      </c>
      <c r="D6" t="s">
        <v>2</v>
      </c>
      <c r="E6" t="s">
        <v>6</v>
      </c>
      <c r="I6" t="s">
        <v>1</v>
      </c>
      <c r="J6" t="s">
        <v>2</v>
      </c>
    </row>
    <row r="7" spans="2:10" x14ac:dyDescent="0.25">
      <c r="B7">
        <v>1</v>
      </c>
      <c r="C7">
        <v>-10.5</v>
      </c>
      <c r="D7">
        <v>-1</v>
      </c>
      <c r="E7">
        <f t="shared" ref="E7:E32" si="0">_xlfn.NORM.DIST(C7,$C$33,$C$34,FALSE)</f>
        <v>5.0295494026261264E-3</v>
      </c>
      <c r="F7">
        <f t="shared" ref="F7:F32" si="1">_xlfn.NORM.DIST(D7,$D$33,$D$34,FALSE)</f>
        <v>8.6737205309174517E-2</v>
      </c>
      <c r="I7">
        <v>-4</v>
      </c>
      <c r="J7">
        <v>3.5</v>
      </c>
    </row>
    <row r="8" spans="2:10" x14ac:dyDescent="0.25">
      <c r="B8">
        <v>2</v>
      </c>
      <c r="C8">
        <v>-10.5</v>
      </c>
      <c r="D8">
        <v>2</v>
      </c>
      <c r="E8">
        <f t="shared" si="0"/>
        <v>5.0295494026261264E-3</v>
      </c>
      <c r="F8">
        <f t="shared" si="1"/>
        <v>0.19809160033089651</v>
      </c>
      <c r="I8">
        <v>-1.25</v>
      </c>
      <c r="J8">
        <v>3</v>
      </c>
    </row>
    <row r="9" spans="2:10" x14ac:dyDescent="0.25">
      <c r="B9">
        <v>3</v>
      </c>
      <c r="C9">
        <v>-10.25</v>
      </c>
      <c r="D9">
        <v>0</v>
      </c>
      <c r="E9">
        <f t="shared" si="0"/>
        <v>5.8140093414587408E-3</v>
      </c>
      <c r="F9">
        <f t="shared" si="1"/>
        <v>0.14800621549025619</v>
      </c>
      <c r="I9">
        <v>-6</v>
      </c>
      <c r="J9">
        <v>0</v>
      </c>
    </row>
    <row r="10" spans="2:10" x14ac:dyDescent="0.25">
      <c r="B10">
        <v>4</v>
      </c>
      <c r="C10">
        <v>-3</v>
      </c>
      <c r="D10">
        <v>4.5</v>
      </c>
      <c r="E10">
        <f t="shared" si="0"/>
        <v>7.9598530000678736E-2</v>
      </c>
      <c r="F10">
        <f t="shared" si="1"/>
        <v>6.6400012408533993E-2</v>
      </c>
      <c r="I10">
        <v>-5.75</v>
      </c>
      <c r="J10">
        <v>1.25</v>
      </c>
    </row>
    <row r="11" spans="2:10" x14ac:dyDescent="0.25">
      <c r="B11">
        <v>5</v>
      </c>
      <c r="C11">
        <v>-2.5</v>
      </c>
      <c r="D11">
        <v>2</v>
      </c>
      <c r="E11">
        <f t="shared" si="0"/>
        <v>8.514843374165422E-2</v>
      </c>
      <c r="F11">
        <f t="shared" si="1"/>
        <v>0.19809160033089651</v>
      </c>
      <c r="I11">
        <v>-1</v>
      </c>
      <c r="J11">
        <v>-1</v>
      </c>
    </row>
    <row r="12" spans="2:10" x14ac:dyDescent="0.25">
      <c r="B12">
        <v>6</v>
      </c>
      <c r="C12">
        <v>-2.5</v>
      </c>
      <c r="D12">
        <v>8.75</v>
      </c>
      <c r="E12">
        <f t="shared" si="0"/>
        <v>8.514843374165422E-2</v>
      </c>
      <c r="F12">
        <f t="shared" si="1"/>
        <v>2.5188880749951498E-4</v>
      </c>
      <c r="I12">
        <v>-2.5</v>
      </c>
      <c r="J12">
        <v>-0.25</v>
      </c>
    </row>
    <row r="13" spans="2:10" x14ac:dyDescent="0.25">
      <c r="B13">
        <v>7</v>
      </c>
      <c r="C13">
        <v>-1.5</v>
      </c>
      <c r="D13">
        <v>2.75</v>
      </c>
      <c r="E13">
        <f t="shared" si="0"/>
        <v>9.3263638239919275E-2</v>
      </c>
      <c r="F13">
        <f t="shared" si="1"/>
        <v>0.16916035430832763</v>
      </c>
      <c r="I13">
        <v>-8</v>
      </c>
      <c r="J13">
        <v>0.25</v>
      </c>
    </row>
    <row r="14" spans="2:10" x14ac:dyDescent="0.25">
      <c r="B14">
        <v>8</v>
      </c>
      <c r="C14">
        <v>-1.5</v>
      </c>
      <c r="D14">
        <v>0.5</v>
      </c>
      <c r="E14">
        <f t="shared" si="0"/>
        <v>9.3263638239919275E-2</v>
      </c>
      <c r="F14">
        <f t="shared" si="1"/>
        <v>0.17543726548800342</v>
      </c>
      <c r="I14">
        <v>0.5</v>
      </c>
      <c r="J14">
        <v>-0.25</v>
      </c>
    </row>
    <row r="15" spans="2:10" x14ac:dyDescent="0.25">
      <c r="B15">
        <v>9</v>
      </c>
      <c r="C15">
        <v>0</v>
      </c>
      <c r="D15">
        <v>1.25</v>
      </c>
      <c r="E15">
        <f t="shared" si="0"/>
        <v>9.5829016309226578E-2</v>
      </c>
      <c r="F15">
        <f t="shared" si="1"/>
        <v>0.20051205208195155</v>
      </c>
      <c r="I15">
        <v>-8</v>
      </c>
      <c r="J15">
        <v>2.5</v>
      </c>
    </row>
    <row r="16" spans="2:10" x14ac:dyDescent="0.25">
      <c r="B16">
        <v>10</v>
      </c>
      <c r="C16">
        <v>0.25</v>
      </c>
      <c r="D16">
        <v>1.5</v>
      </c>
      <c r="E16">
        <f t="shared" si="0"/>
        <v>9.5042374095878526E-2</v>
      </c>
      <c r="F16">
        <f t="shared" si="1"/>
        <v>0.20296207897233307</v>
      </c>
      <c r="I16">
        <v>-8</v>
      </c>
      <c r="J16">
        <v>0.25</v>
      </c>
    </row>
    <row r="17" spans="2:10" x14ac:dyDescent="0.25">
      <c r="B17">
        <v>11</v>
      </c>
      <c r="C17">
        <v>0.5</v>
      </c>
      <c r="D17">
        <v>0.5</v>
      </c>
      <c r="E17">
        <f t="shared" si="0"/>
        <v>9.39190217337878E-2</v>
      </c>
      <c r="F17">
        <f t="shared" si="1"/>
        <v>0.17543726548800342</v>
      </c>
      <c r="I17">
        <v>0.25</v>
      </c>
      <c r="J17">
        <v>0.25</v>
      </c>
    </row>
    <row r="18" spans="2:10" x14ac:dyDescent="0.25">
      <c r="B18">
        <v>12</v>
      </c>
      <c r="C18">
        <v>0.75</v>
      </c>
      <c r="D18">
        <v>0.5</v>
      </c>
      <c r="E18">
        <f t="shared" si="0"/>
        <v>9.2471069900313563E-2</v>
      </c>
      <c r="F18">
        <f t="shared" si="1"/>
        <v>0.17543726548800342</v>
      </c>
      <c r="I18">
        <v>-6</v>
      </c>
      <c r="J18">
        <v>3.5</v>
      </c>
    </row>
    <row r="19" spans="2:10" x14ac:dyDescent="0.25">
      <c r="B19">
        <v>13</v>
      </c>
      <c r="C19">
        <v>1</v>
      </c>
      <c r="D19">
        <v>-2</v>
      </c>
      <c r="E19">
        <f t="shared" si="0"/>
        <v>9.0713984407685744E-2</v>
      </c>
      <c r="F19">
        <f t="shared" si="1"/>
        <v>3.9229241614275691E-2</v>
      </c>
      <c r="I19">
        <v>-12</v>
      </c>
      <c r="J19">
        <v>4</v>
      </c>
    </row>
    <row r="20" spans="2:10" x14ac:dyDescent="0.25">
      <c r="B20">
        <v>14</v>
      </c>
      <c r="C20">
        <v>1</v>
      </c>
      <c r="D20">
        <v>2.5</v>
      </c>
      <c r="E20">
        <f t="shared" si="0"/>
        <v>9.0713984407685744E-2</v>
      </c>
      <c r="F20">
        <f t="shared" si="1"/>
        <v>0.18121200784298358</v>
      </c>
      <c r="I20">
        <v>5.5</v>
      </c>
      <c r="J20">
        <v>0</v>
      </c>
    </row>
    <row r="21" spans="2:10" x14ac:dyDescent="0.25">
      <c r="B21">
        <v>15</v>
      </c>
      <c r="C21">
        <v>1.25</v>
      </c>
      <c r="D21">
        <v>2</v>
      </c>
      <c r="E21">
        <f t="shared" si="0"/>
        <v>8.8666311263918746E-2</v>
      </c>
      <c r="F21">
        <f t="shared" si="1"/>
        <v>0.19809160033089651</v>
      </c>
      <c r="I21">
        <v>-5.5</v>
      </c>
      <c r="J21">
        <v>7</v>
      </c>
    </row>
    <row r="22" spans="2:10" x14ac:dyDescent="0.25">
      <c r="B22">
        <v>16</v>
      </c>
      <c r="C22">
        <v>1.5</v>
      </c>
      <c r="D22">
        <v>2</v>
      </c>
      <c r="E22">
        <f t="shared" si="0"/>
        <v>8.6349350957726459E-2</v>
      </c>
      <c r="F22">
        <f t="shared" si="1"/>
        <v>0.19809160033089651</v>
      </c>
      <c r="I22">
        <v>-5.75</v>
      </c>
      <c r="J22">
        <v>4</v>
      </c>
    </row>
    <row r="23" spans="2:10" x14ac:dyDescent="0.25">
      <c r="B23">
        <v>17</v>
      </c>
      <c r="C23">
        <v>2</v>
      </c>
      <c r="D23">
        <v>3</v>
      </c>
      <c r="E23">
        <f t="shared" si="0"/>
        <v>8.1004298365249236E-2</v>
      </c>
      <c r="F23">
        <f t="shared" si="1"/>
        <v>0.15537374664294482</v>
      </c>
      <c r="I23">
        <v>-2.5</v>
      </c>
      <c r="J23">
        <v>2.5</v>
      </c>
    </row>
    <row r="24" spans="2:10" x14ac:dyDescent="0.25">
      <c r="B24">
        <v>18</v>
      </c>
      <c r="C24">
        <v>2</v>
      </c>
      <c r="D24">
        <v>0.25</v>
      </c>
      <c r="E24">
        <f t="shared" si="0"/>
        <v>8.1004298365249236E-2</v>
      </c>
      <c r="F24">
        <f t="shared" si="1"/>
        <v>0.16244905241861443</v>
      </c>
      <c r="I24">
        <v>-2</v>
      </c>
      <c r="J24">
        <v>2.5</v>
      </c>
    </row>
    <row r="25" spans="2:10" x14ac:dyDescent="0.25">
      <c r="B25">
        <v>19</v>
      </c>
      <c r="C25">
        <v>2</v>
      </c>
      <c r="D25">
        <v>0.5</v>
      </c>
      <c r="E25">
        <f t="shared" si="0"/>
        <v>8.1004298365249236E-2</v>
      </c>
      <c r="F25">
        <f t="shared" si="1"/>
        <v>0.17543726548800342</v>
      </c>
      <c r="I25">
        <v>-5</v>
      </c>
      <c r="J25">
        <v>3.5</v>
      </c>
    </row>
    <row r="26" spans="2:10" x14ac:dyDescent="0.25">
      <c r="B26">
        <v>20</v>
      </c>
      <c r="C26">
        <v>2.5</v>
      </c>
      <c r="D26">
        <v>2.75</v>
      </c>
      <c r="E26">
        <f t="shared" si="0"/>
        <v>7.488954707660507E-2</v>
      </c>
      <c r="F26">
        <f t="shared" si="1"/>
        <v>0.16916035430832763</v>
      </c>
      <c r="I26">
        <v>-2</v>
      </c>
      <c r="J26">
        <v>-0.5</v>
      </c>
    </row>
    <row r="27" spans="2:10" x14ac:dyDescent="0.25">
      <c r="B27">
        <v>21</v>
      </c>
      <c r="C27">
        <v>2.5</v>
      </c>
      <c r="D27">
        <v>1.5</v>
      </c>
      <c r="E27">
        <f t="shared" si="0"/>
        <v>7.488954707660507E-2</v>
      </c>
      <c r="F27">
        <f t="shared" si="1"/>
        <v>0.20296207897233307</v>
      </c>
      <c r="I27">
        <v>-9</v>
      </c>
      <c r="J27">
        <v>-1</v>
      </c>
    </row>
    <row r="28" spans="2:10" x14ac:dyDescent="0.25">
      <c r="B28">
        <v>22</v>
      </c>
      <c r="C28">
        <v>2.5</v>
      </c>
      <c r="D28">
        <v>1</v>
      </c>
      <c r="E28">
        <f t="shared" si="0"/>
        <v>7.488954707660507E-2</v>
      </c>
      <c r="F28">
        <f t="shared" si="1"/>
        <v>0.19490972066582132</v>
      </c>
      <c r="I28">
        <v>-1</v>
      </c>
    </row>
    <row r="29" spans="2:10" x14ac:dyDescent="0.25">
      <c r="B29">
        <v>23</v>
      </c>
      <c r="C29">
        <v>3.5</v>
      </c>
      <c r="D29">
        <v>-0.125</v>
      </c>
      <c r="E29">
        <f t="shared" si="0"/>
        <v>6.1268879753523457E-2</v>
      </c>
      <c r="F29">
        <f t="shared" si="1"/>
        <v>0.14041843521579217</v>
      </c>
      <c r="I29">
        <v>-5</v>
      </c>
      <c r="J29">
        <v>3.5</v>
      </c>
    </row>
    <row r="30" spans="2:10" x14ac:dyDescent="0.25">
      <c r="B30">
        <v>24</v>
      </c>
      <c r="C30">
        <v>4</v>
      </c>
      <c r="D30">
        <v>2.5</v>
      </c>
      <c r="E30">
        <f t="shared" si="0"/>
        <v>5.421825502502723E-2</v>
      </c>
      <c r="F30">
        <f t="shared" si="1"/>
        <v>0.18121200784298358</v>
      </c>
      <c r="I30">
        <v>-6</v>
      </c>
      <c r="J30">
        <v>2.5</v>
      </c>
    </row>
    <row r="31" spans="2:10" x14ac:dyDescent="0.25">
      <c r="B31">
        <v>25</v>
      </c>
      <c r="C31">
        <v>4</v>
      </c>
      <c r="D31">
        <v>0.5</v>
      </c>
      <c r="E31">
        <f t="shared" si="0"/>
        <v>5.421825502502723E-2</v>
      </c>
      <c r="F31">
        <f t="shared" si="1"/>
        <v>0.17543726548800342</v>
      </c>
      <c r="I31">
        <v>-3</v>
      </c>
      <c r="J31">
        <v>0.5</v>
      </c>
    </row>
    <row r="32" spans="2:10" x14ac:dyDescent="0.25">
      <c r="B32" t="s">
        <v>3</v>
      </c>
      <c r="D32">
        <v>1</v>
      </c>
      <c r="E32">
        <f t="shared" si="0"/>
        <v>9.5829016309226578E-2</v>
      </c>
      <c r="F32">
        <f t="shared" si="1"/>
        <v>0.19490972066582132</v>
      </c>
    </row>
    <row r="33" spans="2:11" x14ac:dyDescent="0.25">
      <c r="B33" t="s">
        <v>4</v>
      </c>
      <c r="C33">
        <f>AVERAGE(C7:C32)</f>
        <v>-0.44</v>
      </c>
      <c r="D33">
        <f>AVERAGE(D7:D32)</f>
        <v>1.5625</v>
      </c>
      <c r="I33">
        <f>AVERAGE(I7:I31)</f>
        <v>-4.12</v>
      </c>
      <c r="J33">
        <f>AVERAGE(J7:J31)</f>
        <v>1.7291666666666667</v>
      </c>
    </row>
    <row r="34" spans="2:11" x14ac:dyDescent="0.25">
      <c r="B34" t="s">
        <v>5</v>
      </c>
      <c r="C34">
        <f>_xlfn.STDEV.P(C7:C32)</f>
        <v>4.1396135085295098</v>
      </c>
      <c r="D34">
        <f>_xlfn.STDEV.P(D7:D32)</f>
        <v>1.964605680733218</v>
      </c>
      <c r="I34">
        <f>_xlfn.STDEV.P(I7:I32)</f>
        <v>3.6146369112263543</v>
      </c>
      <c r="J34">
        <f>_xlfn.STDEV.P(J7:J32)</f>
        <v>2.0063916962768982</v>
      </c>
    </row>
    <row r="35" spans="2:11" x14ac:dyDescent="0.25">
      <c r="C35">
        <f>C34/2</f>
        <v>2.0698067542647549</v>
      </c>
      <c r="D35">
        <f>D34/2</f>
        <v>0.98230284036660898</v>
      </c>
      <c r="I35">
        <f>I34/2</f>
        <v>1.8073184556131772</v>
      </c>
      <c r="J35">
        <f>J34/2</f>
        <v>1.0031958481384491</v>
      </c>
    </row>
    <row r="40" spans="2:11" x14ac:dyDescent="0.25">
      <c r="K40" t="s">
        <v>13</v>
      </c>
    </row>
  </sheetData>
  <sortState xmlns:xlrd2="http://schemas.microsoft.com/office/spreadsheetml/2017/richdata2" ref="C7:F32">
    <sortCondition ref="C7:C3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70FF-0CA0-4239-B3BF-C9010FB25E07}">
  <dimension ref="C5:J22"/>
  <sheetViews>
    <sheetView workbookViewId="0">
      <selection activeCell="K22" sqref="K22"/>
    </sheetView>
  </sheetViews>
  <sheetFormatPr defaultRowHeight="15" x14ac:dyDescent="0.25"/>
  <sheetData>
    <row r="5" spans="3:10" x14ac:dyDescent="0.25">
      <c r="C5" t="s">
        <v>7</v>
      </c>
      <c r="D5" t="s">
        <v>8</v>
      </c>
      <c r="E5" t="s">
        <v>9</v>
      </c>
      <c r="F5" t="s">
        <v>10</v>
      </c>
    </row>
    <row r="6" spans="3:10" x14ac:dyDescent="0.25">
      <c r="C6">
        <v>1</v>
      </c>
      <c r="D6">
        <v>3.39</v>
      </c>
      <c r="E6">
        <v>3.25</v>
      </c>
      <c r="F6">
        <v>2.9</v>
      </c>
    </row>
    <row r="7" spans="3:10" x14ac:dyDescent="0.25">
      <c r="C7">
        <v>2</v>
      </c>
      <c r="D7">
        <v>5.22</v>
      </c>
      <c r="E7">
        <v>3.31</v>
      </c>
      <c r="F7">
        <v>3.65</v>
      </c>
    </row>
    <row r="8" spans="3:10" x14ac:dyDescent="0.25">
      <c r="C8">
        <v>3</v>
      </c>
      <c r="D8">
        <v>2.2200000000000002</v>
      </c>
      <c r="E8">
        <v>3.16</v>
      </c>
      <c r="F8">
        <v>3.08</v>
      </c>
    </row>
    <row r="9" spans="3:10" x14ac:dyDescent="0.25">
      <c r="C9">
        <v>4</v>
      </c>
      <c r="D9">
        <v>3.34</v>
      </c>
      <c r="E9">
        <v>3.16</v>
      </c>
      <c r="F9">
        <v>3.53</v>
      </c>
    </row>
    <row r="10" spans="3:10" x14ac:dyDescent="0.25">
      <c r="C10">
        <v>5</v>
      </c>
      <c r="D10">
        <v>2.29</v>
      </c>
      <c r="E10">
        <v>3.18</v>
      </c>
      <c r="F10">
        <v>3.2</v>
      </c>
    </row>
    <row r="11" spans="3:10" x14ac:dyDescent="0.25">
      <c r="C11">
        <v>6</v>
      </c>
      <c r="D11">
        <v>4.3099999999999996</v>
      </c>
      <c r="E11">
        <v>4.51</v>
      </c>
      <c r="F11">
        <v>4.67</v>
      </c>
    </row>
    <row r="12" spans="3:10" x14ac:dyDescent="0.25">
      <c r="C12">
        <v>7</v>
      </c>
      <c r="D12">
        <v>2.44</v>
      </c>
      <c r="E12">
        <v>3.18</v>
      </c>
      <c r="F12">
        <v>3.18</v>
      </c>
    </row>
    <row r="13" spans="3:10" x14ac:dyDescent="0.25">
      <c r="C13">
        <v>8</v>
      </c>
      <c r="D13">
        <v>4.3499999999999996</v>
      </c>
      <c r="E13">
        <v>3.9</v>
      </c>
      <c r="F13">
        <v>4.2300000000000004</v>
      </c>
    </row>
    <row r="14" spans="3:10" x14ac:dyDescent="0.25">
      <c r="C14">
        <v>9</v>
      </c>
      <c r="D14">
        <v>2.4700000000000002</v>
      </c>
      <c r="E14">
        <v>3.3</v>
      </c>
      <c r="F14">
        <v>3.27</v>
      </c>
    </row>
    <row r="15" spans="3:10" x14ac:dyDescent="0.25">
      <c r="C15">
        <v>10</v>
      </c>
      <c r="D15">
        <v>4.09</v>
      </c>
      <c r="E15">
        <v>4.01</v>
      </c>
      <c r="F15">
        <v>3.93</v>
      </c>
    </row>
    <row r="16" spans="3:10" x14ac:dyDescent="0.25">
      <c r="C16">
        <v>11</v>
      </c>
      <c r="D16">
        <v>2.4900000000000002</v>
      </c>
      <c r="E16">
        <v>3.2869999999999999</v>
      </c>
      <c r="F16">
        <v>2.93</v>
      </c>
      <c r="J16" t="s">
        <v>12</v>
      </c>
    </row>
    <row r="17" spans="3:6" x14ac:dyDescent="0.25">
      <c r="C17">
        <v>12</v>
      </c>
      <c r="D17">
        <v>4.3600000000000003</v>
      </c>
      <c r="E17">
        <v>4.2300000000000004</v>
      </c>
      <c r="F17">
        <v>4.47</v>
      </c>
    </row>
    <row r="18" spans="3:6" x14ac:dyDescent="0.25">
      <c r="C18">
        <v>13</v>
      </c>
      <c r="D18">
        <v>2.4700000000000002</v>
      </c>
      <c r="E18">
        <v>3.13</v>
      </c>
      <c r="F18">
        <v>2.9</v>
      </c>
    </row>
    <row r="19" spans="3:6" x14ac:dyDescent="0.25">
      <c r="C19">
        <v>14</v>
      </c>
      <c r="D19">
        <v>3.86</v>
      </c>
      <c r="E19">
        <v>3.81</v>
      </c>
      <c r="F19">
        <v>4.62</v>
      </c>
    </row>
    <row r="20" spans="3:6" x14ac:dyDescent="0.25">
      <c r="C20">
        <v>15</v>
      </c>
      <c r="D20">
        <v>3.06</v>
      </c>
      <c r="E20">
        <v>3.16</v>
      </c>
      <c r="F20">
        <v>3.1</v>
      </c>
    </row>
    <row r="21" spans="3:6" x14ac:dyDescent="0.25">
      <c r="C21" t="s">
        <v>11</v>
      </c>
      <c r="D21">
        <f>AVERAGE(D6:D20)</f>
        <v>3.3573333333333339</v>
      </c>
      <c r="E21">
        <f t="shared" ref="E21:F21" si="0">AVERAGE(E6:E20)</f>
        <v>3.5051333333333341</v>
      </c>
      <c r="F21">
        <f t="shared" si="0"/>
        <v>3.5773333333333333</v>
      </c>
    </row>
    <row r="22" spans="3:6" x14ac:dyDescent="0.25">
      <c r="C22" t="s">
        <v>5</v>
      </c>
      <c r="D22">
        <f>_xlfn.STDEV.P(D6:D20)</f>
        <v>0.9255014256547005</v>
      </c>
      <c r="E22">
        <f t="shared" ref="E22:F22" si="1">_xlfn.STDEV.P(E6:E20)</f>
        <v>0.44281476438297301</v>
      </c>
      <c r="F22">
        <f t="shared" si="1"/>
        <v>0.62408831283899546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Mikey Wiesecke</dc:creator>
  <cp:lastModifiedBy>Mikey Wiesecke</cp:lastModifiedBy>
  <dcterms:created xsi:type="dcterms:W3CDTF">2024-08-29T23:29:25Z</dcterms:created>
  <dcterms:modified xsi:type="dcterms:W3CDTF">2024-09-26T19:32:26Z</dcterms:modified>
</cp:coreProperties>
</file>